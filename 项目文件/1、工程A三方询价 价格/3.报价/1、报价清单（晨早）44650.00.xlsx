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</sheets>
  <definedNames>
    <definedName name="_xlnm.Print_Area" localSheetId="0">Sheet1!$A$1:$H$11</definedName>
  </definedNames>
  <calcPr calcId="191029"/>
</workbook>
</file>

<file path=xl/sharedStrings.xml><?xml version="1.0" encoding="utf-8"?>
<sst xmlns="http://schemas.openxmlformats.org/spreadsheetml/2006/main" count="33" uniqueCount="33">
  <si>
    <t/>
  </si>
  <si>
    <t>长沙市天心区青园小学百川楼打卡文化墙采购项目采购询价清单</t>
  </si>
  <si>
    <t>序号</t>
  </si>
  <si>
    <t>产品名称</t>
  </si>
  <si>
    <t>品牌、型号、参数</t>
  </si>
  <si>
    <t>数量</t>
  </si>
  <si>
    <t>单位</t>
  </si>
  <si>
    <t>单价</t>
  </si>
  <si>
    <t>总价（元）</t>
  </si>
  <si>
    <t>备注</t>
  </si>
  <si>
    <t>人物造型</t>
  </si>
  <si>
    <t>20mm厚结皮Pvc板侧面刮灰烤漆，正UV打印，立体字</t>
  </si>
  <si>
    <t>项</t>
  </si>
  <si>
    <t>底板造型材料</t>
  </si>
  <si>
    <t>50*50*3mm厚方管焊接龙骨架，侧面和正面安装1.5mm厚热镀锌板</t>
  </si>
  <si>
    <t>光纤激光切割</t>
  </si>
  <si>
    <t>1.5mm厚热镀锌板激光切割</t>
  </si>
  <si>
    <t>焊接打磨</t>
  </si>
  <si>
    <t>按设计要求焊接50mm边，精细打磨，正面封板</t>
  </si>
  <si>
    <t>辅材</t>
  </si>
  <si>
    <t>膨胀螺丝焊条等</t>
  </si>
  <si>
    <t>油漆喷涂</t>
  </si>
  <si>
    <t>刮汽车原子灰，正反两面喷环氧底漆2遍</t>
  </si>
  <si>
    <t>运输</t>
  </si>
  <si>
    <t>6.8米货车</t>
  </si>
  <si>
    <t>人员安装</t>
  </si>
  <si>
    <t>专业人员安装</t>
  </si>
  <si>
    <t>人</t>
  </si>
  <si>
    <t>合 计</t>
  </si>
  <si>
    <t>大写：肆万肆仟陆佰伍拾元整</t>
  </si>
  <si>
    <t>报价单位：长沙市晨早文化传播有限公司
联 系 人：罗艳军
联系电话：13077327233
日   期：</t>
  </si>
  <si>
    <t>报价单位：长沙晨早文化传播有限公司
联 系 人：罗艳军
联系电话：13077327233
日   期：</t>
  </si>
  <si>
    <r>
      <rPr>
        <rFont val="微软雅黑"/>
        <charset val="134"/>
        <color theme="1"/>
        <sz val="12"/>
      </rPr>
      <t>m</t>
    </r>
    <r>
      <rPr>
        <rFont val="微软雅黑"/>
        <charset val="134"/>
        <color theme="1"/>
        <sz val="12"/>
        <vertAlign val="superscript"/>
      </rPr>
      <t>2</t>
    </r>
  </si>
</sst>
</file>

<file path=xl/styles.xml><?xml version="1.0" encoding="utf-8"?>
<styleSheet xmlns="http://schemas.openxmlformats.org/spreadsheetml/2006/main">
  <numFmts count="7">
    <numFmt numFmtId="300" formatCode="0.00_ "/>
    <numFmt numFmtId="301" formatCode="General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  <numFmt numFmtId="306" formatCode="_ &quot;￥&quot;* #,##0_ ;_ &quot;￥&quot;* \-#,##0_ ;_ &quot;￥&quot;* &quot;-&quot;_ ;_ @_ 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theme="1"/>
      <sz val="18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color theme="1"/>
      <sz val="20"/>
      <scheme val="minor"/>
    </font>
    <font>
      <name val="微软雅黑"/>
      <charset val="134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6" xfId="0">
      <alignment vertical="center"/>
    </xf>
    <xf numFmtId="301" fontId="10" fillId="2" borderId="6" xfId="0" applyNumberFormat="0" applyFill="0" applyBorder="0" applyAlignment="0" applyProtection="0">
      <alignment vertical="center"/>
    </xf>
    <xf numFmtId="302" fontId="9" fillId="2" borderId="6" xfId="0" applyFont="0" applyFill="0" applyBorder="0" applyAlignment="0" applyProtection="0">
      <alignment vertical="center"/>
    </xf>
    <xf numFmtId="303" fontId="9" fillId="2" borderId="6" xfId="0" applyFont="0" applyFill="0" applyBorder="0" applyAlignment="0" applyProtection="0">
      <alignment vertical="center"/>
    </xf>
    <xf numFmtId="304" fontId="9" fillId="2" borderId="6" xfId="0" applyFont="0" applyFill="0" applyBorder="0" applyAlignment="0" applyProtection="0">
      <alignment vertical="center"/>
    </xf>
    <xf numFmtId="305" fontId="9" fillId="2" borderId="6" xfId="0" applyFont="0" applyFill="0" applyBorder="0" applyAlignment="0" applyProtection="0">
      <alignment vertical="center"/>
    </xf>
    <xf numFmtId="306" fontId="9" fillId="2" borderId="6" xfId="0" applyFont="0" applyFill="0" applyBorder="0" applyAlignment="0" applyProtection="0">
      <alignment vertical="center"/>
    </xf>
    <xf numFmtId="301" fontId="11" fillId="2" borderId="6" xfId="0" applyNumberFormat="0" applyFill="0" applyBorder="0" applyAlignment="0" applyProtection="0">
      <alignment vertical="center"/>
    </xf>
    <xf numFmtId="301" fontId="9" fillId="3" borderId="7" xfId="0" applyNumberFormat="0" applyFont="0" applyAlignment="0" applyProtection="0">
      <alignment vertical="center"/>
    </xf>
    <xf numFmtId="301" fontId="12" fillId="2" borderId="6" xfId="0" applyNumberFormat="0" applyFill="0" applyBorder="0" applyAlignment="0" applyProtection="0">
      <alignment vertical="center"/>
    </xf>
    <xf numFmtId="301" fontId="13" fillId="2" borderId="6" xfId="0" applyNumberFormat="0" applyFill="0" applyBorder="0" applyAlignment="0" applyProtection="0">
      <alignment vertical="center"/>
    </xf>
    <xf numFmtId="301" fontId="14" fillId="2" borderId="6" xfId="0" applyNumberFormat="0" applyFill="0" applyBorder="0" applyAlignment="0" applyProtection="0">
      <alignment vertical="center"/>
    </xf>
    <xf numFmtId="301" fontId="15" fillId="2" borderId="8" xfId="0" applyNumberFormat="0" applyFill="0" applyAlignment="0" applyProtection="0">
      <alignment vertical="center"/>
    </xf>
    <xf numFmtId="301" fontId="16" fillId="2" borderId="8" xfId="0" applyNumberFormat="0" applyFill="0" applyAlignment="0" applyProtection="0">
      <alignment vertical="center"/>
    </xf>
    <xf numFmtId="301" fontId="17" fillId="2" borderId="9" xfId="0" applyNumberFormat="0" applyFill="0" applyAlignment="0" applyProtection="0">
      <alignment vertical="center"/>
    </xf>
    <xf numFmtId="301" fontId="17" fillId="2" borderId="6" xfId="0" applyNumberFormat="0" applyFill="0" applyBorder="0" applyAlignment="0" applyProtection="0">
      <alignment vertical="center"/>
    </xf>
    <xf numFmtId="301" fontId="18" fillId="4" borderId="10" xfId="0" applyNumberFormat="0" applyAlignment="0" applyProtection="0">
      <alignment vertical="center"/>
    </xf>
    <xf numFmtId="301" fontId="19" fillId="5" borderId="11" xfId="0" applyNumberFormat="0" applyAlignment="0" applyProtection="0">
      <alignment vertical="center"/>
    </xf>
    <xf numFmtId="301" fontId="20" fillId="5" borderId="10" xfId="0" applyNumberFormat="0" applyAlignment="0" applyProtection="0">
      <alignment vertical="center"/>
    </xf>
    <xf numFmtId="301" fontId="21" fillId="6" borderId="12" xfId="0" applyNumberFormat="0" applyAlignment="0" applyProtection="0">
      <alignment vertical="center"/>
    </xf>
    <xf numFmtId="301" fontId="22" fillId="2" borderId="13" xfId="0" applyNumberFormat="0" applyFill="0" applyAlignment="0" applyProtection="0">
      <alignment vertical="center"/>
    </xf>
    <xf numFmtId="301" fontId="23" fillId="2" borderId="14" xfId="0" applyNumberFormat="0" applyFill="0" applyAlignment="0" applyProtection="0">
      <alignment vertical="center"/>
    </xf>
    <xf numFmtId="301" fontId="24" fillId="7" borderId="6" xfId="0" applyNumberFormat="0" applyBorder="0" applyAlignment="0" applyProtection="0">
      <alignment vertical="center"/>
    </xf>
    <xf numFmtId="301" fontId="25" fillId="8" borderId="6" xfId="0" applyNumberFormat="0" applyBorder="0" applyAlignment="0" applyProtection="0">
      <alignment vertical="center"/>
    </xf>
    <xf numFmtId="301" fontId="26" fillId="9" borderId="6" xfId="0" applyNumberFormat="0" applyBorder="0" applyAlignment="0" applyProtection="0">
      <alignment vertical="center"/>
    </xf>
    <xf numFmtId="301" fontId="27" fillId="10" borderId="6" xfId="0" applyNumberFormat="0" applyBorder="0" applyAlignment="0" applyProtection="0">
      <alignment vertical="center"/>
    </xf>
    <xf numFmtId="301" fontId="28" fillId="11" borderId="6" xfId="0" applyNumberFormat="0" applyBorder="0" applyAlignment="0" applyProtection="0">
      <alignment vertical="center"/>
    </xf>
    <xf numFmtId="301" fontId="28" fillId="12" borderId="6" xfId="0" applyNumberFormat="0" applyBorder="0" applyAlignment="0" applyProtection="0">
      <alignment vertical="center"/>
    </xf>
    <xf numFmtId="301" fontId="27" fillId="13" borderId="6" xfId="0" applyNumberFormat="0" applyBorder="0" applyAlignment="0" applyProtection="0">
      <alignment vertical="center"/>
    </xf>
    <xf numFmtId="301" fontId="27" fillId="14" borderId="6" xfId="0" applyNumberFormat="0" applyBorder="0" applyAlignment="0" applyProtection="0">
      <alignment vertical="center"/>
    </xf>
    <xf numFmtId="301" fontId="28" fillId="15" borderId="6" xfId="0" applyNumberFormat="0" applyBorder="0" applyAlignment="0" applyProtection="0">
      <alignment vertical="center"/>
    </xf>
    <xf numFmtId="301" fontId="28" fillId="16" borderId="6" xfId="0" applyNumberFormat="0" applyBorder="0" applyAlignment="0" applyProtection="0">
      <alignment vertical="center"/>
    </xf>
    <xf numFmtId="301" fontId="27" fillId="17" borderId="6" xfId="0" applyNumberFormat="0" applyBorder="0" applyAlignment="0" applyProtection="0">
      <alignment vertical="center"/>
    </xf>
    <xf numFmtId="301" fontId="27" fillId="18" borderId="6" xfId="0" applyNumberFormat="0" applyBorder="0" applyAlignment="0" applyProtection="0">
      <alignment vertical="center"/>
    </xf>
    <xf numFmtId="301" fontId="28" fillId="19" borderId="6" xfId="0" applyNumberFormat="0" applyBorder="0" applyAlignment="0" applyProtection="0">
      <alignment vertical="center"/>
    </xf>
    <xf numFmtId="301" fontId="28" fillId="20" borderId="6" xfId="0" applyNumberFormat="0" applyBorder="0" applyAlignment="0" applyProtection="0">
      <alignment vertical="center"/>
    </xf>
    <xf numFmtId="301" fontId="27" fillId="21" borderId="6" xfId="0" applyNumberFormat="0" applyBorder="0" applyAlignment="0" applyProtection="0">
      <alignment vertical="center"/>
    </xf>
    <xf numFmtId="301" fontId="27" fillId="22" borderId="6" xfId="0" applyNumberFormat="0" applyBorder="0" applyAlignment="0" applyProtection="0">
      <alignment vertical="center"/>
    </xf>
    <xf numFmtId="301" fontId="28" fillId="23" borderId="6" xfId="0" applyNumberFormat="0" applyBorder="0" applyAlignment="0" applyProtection="0">
      <alignment vertical="center"/>
    </xf>
    <xf numFmtId="301" fontId="28" fillId="24" borderId="6" xfId="0" applyNumberFormat="0" applyBorder="0" applyAlignment="0" applyProtection="0">
      <alignment vertical="center"/>
    </xf>
    <xf numFmtId="301" fontId="27" fillId="25" borderId="6" xfId="0" applyNumberFormat="0" applyBorder="0" applyAlignment="0" applyProtection="0">
      <alignment vertical="center"/>
    </xf>
    <xf numFmtId="301" fontId="27" fillId="26" borderId="6" xfId="0" applyNumberFormat="0" applyBorder="0" applyAlignment="0" applyProtection="0">
      <alignment vertical="center"/>
    </xf>
    <xf numFmtId="301" fontId="28" fillId="27" borderId="6" xfId="0" applyNumberFormat="0" applyBorder="0" applyAlignment="0" applyProtection="0">
      <alignment vertical="center"/>
    </xf>
    <xf numFmtId="301" fontId="28" fillId="28" borderId="6" xfId="0" applyNumberFormat="0" applyBorder="0" applyAlignment="0" applyProtection="0">
      <alignment vertical="center"/>
    </xf>
    <xf numFmtId="301" fontId="27" fillId="29" borderId="6" xfId="0" applyNumberFormat="0" applyBorder="0" applyAlignment="0" applyProtection="0">
      <alignment vertical="center"/>
    </xf>
    <xf numFmtId="301" fontId="27" fillId="30" borderId="6" xfId="0" applyNumberFormat="0" applyBorder="0" applyAlignment="0" applyProtection="0">
      <alignment vertical="center"/>
    </xf>
    <xf numFmtId="301" fontId="28" fillId="31" borderId="6" xfId="0" applyNumberFormat="0" applyBorder="0" applyAlignment="0" applyProtection="0">
      <alignment vertical="center"/>
    </xf>
    <xf numFmtId="301" fontId="28" fillId="32" borderId="6" xfId="0" applyNumberFormat="0" applyBorder="0" applyAlignment="0" applyProtection="0">
      <alignment vertical="center"/>
    </xf>
    <xf numFmtId="301" fontId="27" fillId="33" borderId="6" xf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0" borderId="6" xfId="0" applyFont="1" applyAlignment="1">
      <alignment horizontal="center" vertical="center" wrapText="1"/>
    </xf>
    <xf numFmtId="300" fontId="3" fillId="0" borderId="6" xfId="0" applyNumberFormat="1" applyFont="1" applyAlignment="1">
      <alignment horizontal="center" vertical="center" wrapText="1"/>
    </xf>
    <xf numFmtId="301" fontId="4" fillId="0" borderId="1" xfId="0" applyFont="1" applyBorder="1" applyAlignment="1">
      <alignment horizontal="center" vertical="center" wrapText="1"/>
    </xf>
    <xf numFmtId="300" fontId="4" fillId="0" borderId="1" xfId="0" applyNumberFormat="1" applyFont="1" applyBorder="1" applyAlignment="1">
      <alignment horizontal="center" vertical="center" wrapText="1"/>
    </xf>
    <xf numFmtId="301" fontId="4" fillId="0" borderId="1" xfId="0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 wrapText="1"/>
    </xf>
    <xf numFmtId="300" fontId="5" fillId="0" borderId="1" xfId="0" applyNumberFormat="1" applyFont="1" applyBorder="1" applyAlignment="1">
      <alignment horizontal="center" vertical="center" wrapText="1"/>
    </xf>
    <xf numFmtId="301" fontId="5" fillId="0" borderId="1" xfId="0" applyFont="1" applyBorder="1" applyAlignment="1">
      <alignment horizontal="center" vertical="center"/>
    </xf>
    <xf numFmtId="301" fontId="6" fillId="0" borderId="6" xfId="0" applyFont="1">
      <alignment vertical="center"/>
    </xf>
    <xf numFmtId="301" fontId="7" fillId="0" borderId="1" xfId="0" applyFont="1" applyBorder="1" applyAlignment="1">
      <alignment horizontal="center" vertical="center"/>
    </xf>
    <xf numFmtId="301" fontId="7" fillId="0" borderId="1" xfId="0" applyFont="1" applyBorder="1" applyAlignment="1">
      <alignment horizontal="center" vertical="center" wrapText="1"/>
    </xf>
    <xf numFmtId="300" fontId="7" fillId="0" borderId="1" xfId="0" applyNumberFormat="1" applyFont="1" applyBorder="1" applyAlignment="1">
      <alignment horizontal="center" vertical="center"/>
    </xf>
    <xf numFmtId="300" fontId="5" fillId="0" borderId="1" xfId="0" applyNumberFormat="1" applyFont="1" applyBorder="1" applyAlignment="1">
      <alignment horizontal="center" vertical="center"/>
    </xf>
    <xf numFmtId="301" fontId="5" fillId="0" borderId="2" xfId="0" applyFont="1" applyBorder="1" applyAlignment="1">
      <alignment horizontal="center" vertical="center"/>
    </xf>
    <xf numFmtId="300" fontId="5" fillId="0" borderId="2" xfId="0" applyNumberFormat="1" applyFont="1" applyBorder="1" applyAlignment="1">
      <alignment horizontal="center" vertical="center"/>
    </xf>
    <xf numFmtId="301" fontId="5" fillId="0" borderId="3" xfId="0" applyFont="1" applyBorder="1" applyAlignment="1">
      <alignment horizontal="center" vertical="center"/>
    </xf>
    <xf numFmtId="301" fontId="5" fillId="0" borderId="3" xfId="0" applyFont="1" applyBorder="1" applyAlignment="1">
      <alignment horizontal="left" vertical="center"/>
    </xf>
    <xf numFmtId="301" fontId="5" fillId="0" borderId="4" xfId="0" applyFont="1" applyBorder="1" applyAlignment="1">
      <alignment horizontal="left" vertical="center"/>
    </xf>
    <xf numFmtId="301" fontId="5" fillId="0" borderId="5" xfId="0" applyFont="1" applyBorder="1" applyAlignment="1">
      <alignment horizontal="left" vertical="center"/>
    </xf>
    <xf numFmtId="300" fontId="5" fillId="0" borderId="5" xfId="0" applyNumberFormat="1" applyFont="1" applyBorder="1" applyAlignment="1">
      <alignment horizontal="center" vertical="center"/>
    </xf>
    <xf numFmtId="301" fontId="5" fillId="0" borderId="1" xfId="0" applyFont="1" applyBorder="1" applyAlignment="1">
      <alignment horizontal="left" vertical="top" wrapText="1"/>
    </xf>
    <xf numFmtId="301" fontId="8" fillId="2" borderId="6" xfId="0" applyNumberFormat="1" applyFont="1" applyFill="1" applyBorder="1" applyAlignment="1">
      <alignment horizontal="center" vertical="center"/>
    </xf>
    <xf numFmtId="300" fontId="8" fillId="2" borderId="6" xfId="0" applyNumberFormat="1" applyFont="1" applyFill="1" applyBorder="1" applyAlignment="1">
      <alignment horizontal="center" vertical="center" wrapText="1"/>
    </xf>
    <xf numFmtId="301" fontId="8" fillId="2" borderId="6" xfId="0" applyNumberFormat="1" applyFont="1" applyFill="1" applyBorder="1" applyAlignment="1">
      <alignment horizontal="left" vertical="center" wrapText="1"/>
    </xf>
    <xf numFmtId="300" fontId="8" fillId="2" borderId="6" xfId="0" applyNumberFormat="1" applyFont="1" applyFill="1" applyBorder="1" applyAlignment="1">
      <alignment horizontal="center" vertical="center"/>
    </xf>
    <xf numFmtId="301" fontId="6" fillId="2" borderId="6" xfId="0" applyNumberFormat="1" applyFont="1" applyFill="1" applyBorder="1" applyAlignment="1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525145</xdr:colOff>
      <xdr:row>15</xdr:row>
      <xdr:rowOff>520700</xdr:rowOff>
    </xdr:from>
    <xdr:to>
      <xdr:col>15</xdr:col>
      <xdr:colOff>170815</xdr:colOff>
      <xdr:row>20</xdr:row>
      <xdr:rowOff>377825</xdr:rowOff>
    </xdr:to>
    <xdr:pic>
      <xdr:nvPicPr>
        <xdr:cNvPr id="1" name="图片 1"/>
        <xdr:cNvPicPr>
          <a:picLocks noChangeAspect="1"/>
        </xdr:cNvPicPr>
      </xdr:nvPicPr>
      <xdr:blipFill>
        <a:blip r:embed="rId0"/>
        <a:stretch>
          <a:fillRect/>
        </a:stretch>
      </xdr:blipFill>
      <xdr:spPr>
        <a:xfrm>
          <a:off x="525145" y="8128000"/>
          <a:ext cx="17049750" cy="3667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XFD15"/>
  <sheetViews>
    <sheetView showGridLines="1" tabSelected="1" topLeftCell="A5" workbookViewId="0"/>
  </sheetViews>
  <sheetFormatPr defaultColWidth="9" defaultRowHeight="60" customHeight="1"/>
  <cols>
    <col min="1" max="1" width="12.2417" style="25" customWidth="1"/>
    <col min="2" max="2" width="21.7083" style="26" customWidth="1"/>
    <col min="3" max="3" width="54.875" style="27" customWidth="1"/>
    <col min="4" max="4" width="13.375" style="27" customWidth="1"/>
    <col min="5" max="6" width="13.375" style="25" customWidth="1"/>
    <col min="7" max="7" width="15.2" style="28" customWidth="1"/>
    <col min="8" max="8" width="21.25" style="28" customWidth="1"/>
    <col min="9" max="26" width="9" style="29"/>
  </cols>
  <sheetData>
    <row r="1" spans="1:8" ht="38" customHeight="1">
      <c r="A1" s="4" t="s">
        <v>1</v>
      </c>
      <c r="B1" s="4" t="s"/>
      <c r="C1" s="4" t="s"/>
      <c r="D1" s="4" t="s"/>
      <c r="E1" s="4" t="s"/>
      <c r="F1" s="5" t="s"/>
      <c r="G1" s="5" t="s"/>
      <c r="H1" s="4" t="s"/>
    </row>
    <row r="2" spans="1:8" ht="44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8" t="s">
        <v>9</v>
      </c>
    </row>
    <row r="3" spans="1:9" ht="56" customHeight="1">
      <c r="A3" s="9">
        <v>1</v>
      </c>
      <c r="B3" s="9" t="s">
        <v>10</v>
      </c>
      <c r="C3" s="9" t="s">
        <v>11</v>
      </c>
      <c r="D3" s="9">
        <v>1</v>
      </c>
      <c r="E3" s="9" t="s">
        <v>12</v>
      </c>
      <c r="F3" s="10">
        <v>2400</v>
      </c>
      <c r="G3" s="10">
        <v>2400</v>
      </c>
      <c r="H3" s="11" t="s"/>
      <c r="I3" s="12">
        <v>100</v>
      </c>
    </row>
    <row r="4" spans="1:8" ht="56" customHeight="1">
      <c r="A4" s="11">
        <v>2</v>
      </c>
      <c r="B4" s="13" t="s">
        <v>13</v>
      </c>
      <c r="C4" s="14" t="s">
        <v>14</v>
      </c>
      <c r="D4" s="13">
        <v>75</v>
      </c>
      <c r="E4" s="11" t="s">
        <v>32</v>
      </c>
      <c r="F4" s="15">
        <v>210</v>
      </c>
      <c r="G4" s="16">
        <f>=D4*F4</f>
        <v>15750</v>
      </c>
      <c r="H4" s="11" t="s"/>
    </row>
    <row r="5" spans="1:8" ht="45" customHeight="1">
      <c r="A5" s="9">
        <v>3</v>
      </c>
      <c r="B5" s="13" t="s">
        <v>15</v>
      </c>
      <c r="C5" s="14" t="s">
        <v>16</v>
      </c>
      <c r="D5" s="13">
        <v>75</v>
      </c>
      <c r="E5" s="11" t="s">
        <v>32</v>
      </c>
      <c r="F5" s="15">
        <v>14</v>
      </c>
      <c r="G5" s="16">
        <f>=D5*F5</f>
        <v>1050</v>
      </c>
      <c r="H5" s="11" t="s"/>
    </row>
    <row r="6" spans="1:8" ht="45" customHeight="1">
      <c r="A6" s="11">
        <v>4</v>
      </c>
      <c r="B6" s="13" t="s">
        <v>17</v>
      </c>
      <c r="C6" s="14" t="s">
        <v>18</v>
      </c>
      <c r="D6" s="13">
        <v>75</v>
      </c>
      <c r="E6" s="11" t="s">
        <v>32</v>
      </c>
      <c r="F6" s="15">
        <v>110</v>
      </c>
      <c r="G6" s="16">
        <f>=D6*F6</f>
        <v>8250</v>
      </c>
      <c r="H6" s="11" t="s"/>
    </row>
    <row r="7" spans="1:8" ht="45" customHeight="1">
      <c r="A7" s="9">
        <v>5</v>
      </c>
      <c r="B7" s="13" t="s">
        <v>19</v>
      </c>
      <c r="C7" s="14" t="s">
        <v>20</v>
      </c>
      <c r="D7" s="13">
        <v>1</v>
      </c>
      <c r="E7" s="11" t="s">
        <v>12</v>
      </c>
      <c r="F7" s="15">
        <v>800</v>
      </c>
      <c r="G7" s="16">
        <f>=D7*F7</f>
        <v>800</v>
      </c>
      <c r="H7" s="11" t="s"/>
    </row>
    <row r="8" spans="1:8" ht="45" customHeight="1">
      <c r="A8" s="11">
        <v>6</v>
      </c>
      <c r="B8" s="13" t="s">
        <v>21</v>
      </c>
      <c r="C8" s="14" t="s">
        <v>22</v>
      </c>
      <c r="D8" s="13">
        <v>150</v>
      </c>
      <c r="E8" s="11" t="s">
        <v>32</v>
      </c>
      <c r="F8" s="15">
        <v>78</v>
      </c>
      <c r="G8" s="16">
        <f>=D8*F8</f>
        <v>11700</v>
      </c>
      <c r="H8" s="11" t="s"/>
    </row>
    <row r="9" spans="1:8" ht="45" customHeight="1">
      <c r="A9" s="9">
        <v>7</v>
      </c>
      <c r="B9" s="13" t="s">
        <v>23</v>
      </c>
      <c r="C9" s="14" t="s">
        <v>24</v>
      </c>
      <c r="D9" s="13">
        <v>1</v>
      </c>
      <c r="E9" s="11" t="s">
        <v>32</v>
      </c>
      <c r="F9" s="15">
        <v>800</v>
      </c>
      <c r="G9" s="16">
        <f>=D9*F9</f>
        <v>800</v>
      </c>
      <c r="H9" s="11" t="s"/>
    </row>
    <row r="10" spans="1:8" ht="45" customHeight="1">
      <c r="A10" s="11">
        <v>8</v>
      </c>
      <c r="B10" s="11" t="s">
        <v>25</v>
      </c>
      <c r="C10" s="17" t="s">
        <v>26</v>
      </c>
      <c r="D10" s="17">
        <v>13</v>
      </c>
      <c r="E10" s="17" t="s">
        <v>27</v>
      </c>
      <c r="F10" s="18">
        <v>300</v>
      </c>
      <c r="G10" s="16">
        <f>=D10*F10</f>
        <v>3900</v>
      </c>
      <c r="H10" s="11" t="s"/>
    </row>
    <row r="11" spans="1:8" ht="56" customHeight="1">
      <c r="A11" s="11" t="s"/>
      <c r="B11" s="19" t="s">
        <v>28</v>
      </c>
      <c r="C11" s="20" t="s">
        <v>29</v>
      </c>
      <c r="D11" s="21" t="s"/>
      <c r="E11" s="21" t="s"/>
      <c r="F11" s="22" t="s"/>
      <c r="G11" s="23">
        <f>=SUM(G3:G10)</f>
        <v>44650</v>
      </c>
      <c r="H11" s="11" t="s"/>
    </row>
    <row r="12" spans="1:8" ht="52" customHeight="1">
      <c r="A12" s="24" t="s">
        <v>31</v>
      </c>
      <c r="B12" s="24" t="s"/>
      <c r="C12" s="24" t="s"/>
      <c r="D12" s="24" t="s"/>
      <c r="E12" s="24" t="s"/>
      <c r="F12" s="24" t="s"/>
      <c r="G12" s="24" t="s"/>
      <c r="H12" s="24" t="s"/>
    </row>
    <row r="13" spans="1:8" ht="9" customHeight="1">
      <c r="A13" s="24" t="s"/>
      <c r="B13" s="24" t="s"/>
      <c r="C13" s="24" t="s"/>
      <c r="D13" s="24" t="s"/>
      <c r="E13" s="24" t="s"/>
      <c r="F13" s="24" t="s"/>
      <c r="G13" s="24" t="s"/>
      <c r="H13" s="24" t="s"/>
    </row>
    <row r="14" spans="1:8" ht="9" customHeight="1">
      <c r="A14" s="24" t="s"/>
      <c r="B14" s="24" t="s"/>
      <c r="C14" s="24" t="s"/>
      <c r="D14" s="24" t="s"/>
      <c r="E14" s="24" t="s"/>
      <c r="F14" s="24" t="s"/>
      <c r="G14" s="24" t="s"/>
      <c r="H14" s="24" t="s"/>
    </row>
    <row r="15" spans="1:8" ht="9" customHeight="1">
      <c r="A15" s="24" t="s"/>
      <c r="B15" s="24" t="s"/>
      <c r="C15" s="24" t="s"/>
      <c r="D15" s="24" t="s"/>
      <c r="E15" s="24" t="s"/>
      <c r="F15" s="24" t="s"/>
      <c r="G15" s="24" t="s"/>
      <c r="H15" s="24" t="s"/>
    </row>
  </sheetData>
  <mergeCells count="3">
    <mergeCell ref="A1:H1"/>
    <mergeCell ref="C11:F11"/>
    <mergeCell ref="A12:H15"/>
  </mergeCells>
  <printOptions horizontalCentered="1"/>
  <pageMargins left="0.236111" right="0.554861" top="0.409028" bottom="0.409028" header="0.5" footer="0.5"/>
  <pageSetup paperSize="9" scale="85" orientation="landscape" horizontalDpi="600"/>
  <headerFooter/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2026-10-26T15:40:51Z</dcterms:created>
  <dcterms:modified xsi:type="dcterms:W3CDTF">2026-10-26T15:40:51Z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69C2A875D3E541EB91EDAECAAC7ACE99_13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
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it学习\Excel转指定位置word\项目文件\"/>
    </mc:Choice>
  </mc:AlternateContent>
  <bookViews>
    <workbookView windowWidth="21094" windowHeight="8434"/>
  </bookViews>
  <sheets>
    <sheet name="主表" sheetId="1" r:id="rId1"/>
    <sheet name="明细" sheetId="2" r:id="rId2"/>
    <sheet name="供应商信息" sheetId="3" r:id="rId3"/>
    <sheet name="报价对比" sheetId="4" r:id="rId4"/>
    <sheet name="说明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<sst xmlns="http://schemas.openxmlformats.org/spreadsheetml/2006/main" count="267" uniqueCount="184">
  <si>
    <t>示例数据 · 长沙市天心区青园小学百川楼打卡文化墙采购项目（A3 选中标单位，其余字段自动联动）</t>
  </si>
  <si>
    <t>中标单位</t>
  </si>
  <si>
    <t>项目名称</t>
  </si>
  <si>
    <t>甲方名称</t>
  </si>
  <si>
    <t>甲方地址</t>
  </si>
  <si>
    <t>甲方联系人</t>
  </si>
  <si>
    <t>甲方电话</t>
  </si>
  <si>
    <t>乙方名称</t>
  </si>
  <si>
    <t>乙方地址</t>
  </si>
  <si>
    <t>乙方联系人</t>
  </si>
  <si>
    <t>乙方电话</t>
  </si>
  <si>
    <t>乙方法定代表人</t>
  </si>
  <si>
    <t>统一社会信用代码</t>
  </si>
  <si>
    <t>金额小写（元）</t>
  </si>
  <si>
    <t>金额大写</t>
  </si>
  <si>
    <t>大班威</t>
  </si>
  <si>
    <t>长沙市天心区青园小学百川楼打卡文化墙采购项目</t>
  </si>
  <si>
    <t>长沙市天心区青园小学</t>
  </si>
  <si>
    <t>长沙市天心区万芙北路189号</t>
  </si>
  <si>
    <t>刘主任</t>
  </si>
  <si>
    <t>0731-85894211</t>
  </si>
  <si>
    <t>示例数据 · 明细表（中标方「长沙晨早文化传播有限公司」报价，8 行物料）</t>
  </si>
  <si>
    <t>序号</t>
  </si>
  <si>
    <t>名称</t>
  </si>
  <si>
    <t>型号规格、标准及配置</t>
  </si>
  <si>
    <t>数量</t>
  </si>
  <si>
    <t>单位</t>
  </si>
  <si>
    <t>单价（元）</t>
  </si>
  <si>
    <t>金额（元）</t>
  </si>
  <si>
    <t>人物造型</t>
  </si>
  <si>
    <t>20mm厚结皮pvc板侧面刮灰烤漆，正uv打印，立体字</t>
  </si>
  <si>
    <t>项</t>
  </si>
  <si>
    <t>底板造型材料</t>
  </si>
  <si>
    <t>50*50*3mm厚方管焊接龙骨架，侧面和正面安装1.5mm厚热镀锌板</t>
  </si>
  <si>
    <t>m2</t>
  </si>
  <si>
    <t>光纤激光切割</t>
  </si>
  <si>
    <t>1.5mm厚热镀锌板激光切割</t>
  </si>
  <si>
    <t>焊接打磨</t>
  </si>
  <si>
    <t>按设计要求焊接50mm边，精细打磨，正面封板</t>
  </si>
  <si>
    <t>辅材</t>
  </si>
  <si>
    <t>膨胀螺丝焊条等</t>
  </si>
  <si>
    <t>油漆喷涂</t>
  </si>
  <si>
    <t>刮汽车原子灰，正反两面喷环氧底漆2遍</t>
  </si>
  <si>
    <t>运输</t>
  </si>
  <si>
    <t>6.8米货车</t>
  </si>
  <si>
    <t>人员安装</t>
  </si>
  <si>
    <t>专业人员安装</t>
  </si>
  <si>
    <t>人</t>
  </si>
  <si>
    <t>合  计</t>
  </si>
  <si>
    <t>九家供应商信息对照（按报价由低到高；主表 A3 的下拉即取自 B 列）</t>
  </si>
  <si>
    <t>报价排名</t>
  </si>
  <si>
    <t>公司简称</t>
  </si>
  <si>
    <t>公司全称</t>
  </si>
  <si>
    <t>法定代表人</t>
  </si>
  <si>
    <t>注册资本</t>
  </si>
  <si>
    <t>成立日期</t>
  </si>
  <si>
    <t>注册地址</t>
  </si>
  <si>
    <t>报价联系人</t>
  </si>
  <si>
    <t>联系电话</t>
  </si>
  <si>
    <t>报价总额（元）</t>
  </si>
  <si>
    <t>报价大写</t>
  </si>
  <si>
    <t>数据性质</t>
  </si>
  <si>
    <t>晨早</t>
  </si>
  <si>
    <t>长沙晨早文化传播有限公司</t>
  </si>
  <si>
    <t>91430103MA4QXDUY22</t>
  </si>
  <si>
    <t>蒋美益</t>
  </si>
  <si>
    <t>100 万元</t>
  </si>
  <si>
    <t>2019-11-06</t>
  </si>
  <si>
    <t>湖南省长沙市天心区南二环282号3栋2116</t>
  </si>
  <si>
    <t>罗艳军</t>
  </si>
  <si>
    <t>13077327233</t>
  </si>
  <si>
    <t>肆万肆仟陆佰伍拾元整</t>
  </si>
  <si>
    <t>真实报价</t>
  </si>
  <si>
    <t>泉旭</t>
  </si>
  <si>
    <t>长沙泉旭广告传媒有限公司</t>
  </si>
  <si>
    <t>91430121MACQMH1W7E</t>
  </si>
  <si>
    <t>张何</t>
  </si>
  <si>
    <t>20 万元</t>
  </si>
  <si>
    <t>2023-08-08</t>
  </si>
  <si>
    <t>长沙市雨花区高桥街道人民东路58号新三诚大厦1101-1102房F040号</t>
  </si>
  <si>
    <t>15111062831</t>
  </si>
  <si>
    <t>肆万伍仟捌佰柒拾伍元整</t>
  </si>
  <si>
    <t>左右</t>
  </si>
  <si>
    <t>长沙左右文化传播有限公司</t>
  </si>
  <si>
    <t>91430103794720885W</t>
  </si>
  <si>
    <t>刘念</t>
  </si>
  <si>
    <t>200 万元</t>
  </si>
  <si>
    <t>2006-11-06</t>
  </si>
  <si>
    <t>湖南省长沙市天心区书院南路723号卓越江岸苑3栋1112号房</t>
  </si>
  <si>
    <t>13707319090</t>
  </si>
  <si>
    <t>肆万陆仟柒佰壹拾叁元整</t>
  </si>
  <si>
    <t>模拟报价</t>
  </si>
  <si>
    <t>五九</t>
  </si>
  <si>
    <t>湖南五九广告装饰工程有限公司</t>
  </si>
  <si>
    <t>91430104338468778X</t>
  </si>
  <si>
    <t>龙彬</t>
  </si>
  <si>
    <t>2015-04-23</t>
  </si>
  <si>
    <t>湖南省长沙市岳麓区咸嘉湖街道桐梓坡路519号高鑫麓城14栋308房</t>
  </si>
  <si>
    <t>15126584671</t>
  </si>
  <si>
    <t>肆万柒仟肆佰肆拾玖元整</t>
  </si>
  <si>
    <t>东方恒大</t>
  </si>
  <si>
    <t>湖南东方恒大广告传媒有限公司</t>
  </si>
  <si>
    <t>91430111MA4L425108</t>
  </si>
  <si>
    <t>张小海</t>
  </si>
  <si>
    <t>300 万元</t>
  </si>
  <si>
    <t>2016-04-27</t>
  </si>
  <si>
    <t>长沙市雨花区井莲路397号紫铭大厦1337号房</t>
  </si>
  <si>
    <t>0731-85069118</t>
  </si>
  <si>
    <t>肆万柒仟陆佰贰拾肆元整</t>
  </si>
  <si>
    <t>湖南大班威广告传媒有限公司</t>
  </si>
  <si>
    <t>91430111394064620T</t>
  </si>
  <si>
    <t>孙威</t>
  </si>
  <si>
    <t>2014-09-22</t>
  </si>
  <si>
    <t>长沙经济技术开发区盼盼路12号湖南湘联科技有限公司厂房401（4-001—4-019）</t>
  </si>
  <si>
    <t>13507409923</t>
  </si>
  <si>
    <t>肆万柒仟柒佰玖拾玖元整</t>
  </si>
  <si>
    <t>天高</t>
  </si>
  <si>
    <t>长沙市天高文化传播有限公司</t>
  </si>
  <si>
    <t>9143011177228738X1</t>
  </si>
  <si>
    <t>李智</t>
  </si>
  <si>
    <t>2005-03-28</t>
  </si>
  <si>
    <t>湖南省长沙市天心区书院路2号森宇房地产1栋B座907房</t>
  </si>
  <si>
    <t>13307316919</t>
  </si>
  <si>
    <t>肆万柒仟捌佰伍拾玖元整</t>
  </si>
  <si>
    <t>上策</t>
  </si>
  <si>
    <t>长沙上策文化传播有限公司</t>
  </si>
  <si>
    <t>914301056639728634</t>
  </si>
  <si>
    <t>邓谋民</t>
  </si>
  <si>
    <t>101 万元</t>
  </si>
  <si>
    <t>2007-07-17</t>
  </si>
  <si>
    <t>湖南省长沙市开福区四方坪麦德龙北侧四季美景小区15栋103房</t>
  </si>
  <si>
    <t>13549666136</t>
  </si>
  <si>
    <t>肆万柒仟玖佰贰拾伍元整</t>
  </si>
  <si>
    <t>泽信</t>
  </si>
  <si>
    <t>长沙泽信文化传播有限公司</t>
  </si>
  <si>
    <t>91430105083553988Q</t>
  </si>
  <si>
    <t>晏乐杰</t>
  </si>
  <si>
    <t>2013-11-14</t>
  </si>
  <si>
    <t>湖南省长沙市天心区五一大道717号1801房</t>
  </si>
  <si>
    <t>15111261647</t>
  </si>
  <si>
    <t>肆万捌仟捌佰捌拾捌元整</t>
  </si>
  <si>
    <t>九家报价单价对照（单价单位：元；标黄三家为模拟数据）</t>
  </si>
  <si>
    <t>最低价方</t>
  </si>
  <si>
    <t>合  计（数量 × 单价）</t>
  </si>
  <si>
    <t>注 1：泉旭合计按「单价 × 数量」重算为 45,925 元，其报价清单原写 45,875 元——序号 1 单价 2,450 × 1，总价却被填成 2,400，少 50 元。注 2：左右、五九、东方恒大、大班威、天高、泽信六家的公司信息真实，报价为随机模拟，仅用于模板填充测试，不得作为真实报价使用。</t>
  </si>
  <si>
    <t>字段映射表（当前值随主表 A3 选择的中标单位自动变化）</t>
  </si>
  <si>
    <t>模板红字占位</t>
  </si>
  <si>
    <t>主表列名</t>
  </si>
  <si>
    <t>供应商信息字段</t>
  </si>
  <si>
    <t>当前值（随中标单位联动）</t>
  </si>
  <si>
    <t>来源 / 备注</t>
  </si>
  <si>
    <t>某某甲方</t>
  </si>
  <si>
    <t>—（固定值）</t>
  </si>
  <si>
    <t>签收单「采购人名称」；百度百科校址</t>
  </si>
  <si>
    <t>某某甲方地址</t>
  </si>
  <si>
    <t>青园小学公开校址</t>
  </si>
  <si>
    <t>采购单位联系人</t>
  </si>
  <si>
    <t>长沙市政府采购网 · 青园小学采购公告「采购人信息」栏</t>
  </si>
  <si>
    <t>采购单位电话</t>
  </si>
  <si>
    <t>同上，为采购公告登记电话</t>
  </si>
  <si>
    <t>某某甲方某某项目 / 某某文化墙</t>
  </si>
  <si>
    <t>三份报价清单表头</t>
  </si>
  <si>
    <t>某某公司</t>
  </si>
  <si>
    <t>工商登记全称（无「市」字）</t>
  </si>
  <si>
    <t>某某公司地址</t>
  </si>
  <si>
    <t>工商登记注册地址</t>
  </si>
  <si>
    <t>联系人</t>
  </si>
  <si>
    <t>报价清单落款</t>
  </si>
  <si>
    <t>报价清单落款 / 平台公开号码</t>
  </si>
  <si>
    <t>工商登记；与报价单联系人可能不是同一人</t>
  </si>
  <si>
    <t>—</t>
  </si>
  <si>
    <t>第三方平台，需在国家企业信用信息公示系统核对</t>
  </si>
  <si>
    <t>44650.00</t>
  </si>
  <si>
    <t>各供应商报价合计</t>
  </si>
  <si>
    <t>按报价总额程序生成</t>
  </si>
  <si>
    <t>使用说明与注意事项</t>
  </si>
  <si>
    <t>1. 【换中标方】主表 A3 是下拉框，从九家供应商里选任意一家，乙方名称 / 地址 / 联系人 / 电话 / 法定代表人 / 统一社会信用代码 / 金额小写 / 金额大写 八个字段全部自动联动，本表「当前值」列同步变化，不需要手动改任何一格。</t>
  </si>
  <si>
    <t>2. 【为什么不写死】模板填充脚本读的是主表第 3 行，改 A3 就等于换了整份合同的主体，晨早、泉旭、上策之外的六家同样可用。若选中的单位与「报价对比」里的最低价不一致，脚本不会阻止，需人工确认是否符合「最低价成交」原则。</t>
  </si>
  <si>
    <t>3. 【明细表不联动】明细表固定是晨早的 8 行报价，因为另外八家没有逐项报价单。换中标方时明细需另行提供，否则金额会与主表对不上。</t>
  </si>
  <si>
    <t>4. 九家里只有晨早、泉旭、上策三家真实参与本项目，金额来自其报价清单；其余六家（左右、五九、东方恒大、大班威、天高、泽信）公司信息真实可查，但报价为随机生成，纯属模拟，不得作为真实报价或竞争性磋商依据使用。</t>
  </si>
  <si>
    <t>5. 乙方名称以工商登记为准：报价清单写「长沙【市】晨早文化传播有限公司」，工商登记为「长沙晨早文化传播有限公司」，多一个「市」字（已修正）。签收单写的是后者。</t>
  </si>
  <si>
    <t>6. 泉旭报价清单算术有误：序号 1「人物造型」单价 2450、数量 1，总价却填 2400（少 50 元）。按其单价重算，泉旭合计应为 45925 而非报价单上的 45875；本表「报价总额」沿用报价单原值 45875。</t>
  </si>
  <si>
    <t>7. 甲方联系人与电话取自长沙市政府采购网青园小学采购公告「采购人信息」栏（刘主任 / 0731-85894211），比学校名录上的招生咨询电话更对口。九家供应商电话中，五九的为手工填写，其余为第三方平台或年报公示号码，使用前均需核实。</t>
  </si>
  <si>
    <t>8. 红字判定口径：红色系（R≥0x80 且 G≤0x60 且 B≤0x60），覆盖 EE0000 与 FF0000 两种模板标注色。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</si>
</sst>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3"/>
      <color rgb="FFFFFFFF"/>
      <name val="微软雅黑"/>
      <charset val="134"/>
    </font>
    <font>
      <b/>
      <sz val="10"/>
      <color rgb="FFFFFFFF"/>
      <name val="微软雅黑"/>
      <charset val="134"/>
    </font>
    <font>
      <sz val="10"/>
      <color rgb="FF9C0006"/>
      <name val="微软雅黑"/>
      <charset val="134"/>
    </font>
    <font>
      <sz val="10"/>
      <color rgb="FF000000"/>
      <name val="微软雅黑"/>
      <charset val="134"/>
    </font>
    <font>
      <b/>
      <sz val="10"/>
      <color rgb="FF2F5597"/>
      <name val="微软雅黑"/>
      <charset val="134"/>
    </font>
    <font>
      <sz val="10"/>
      <name val="微软雅黑"/>
      <charset val="134"/>
    </font>
    <font>
      <b/>
      <sz val="11"/>
      <color rgb="FF2F5597"/>
      <name val="微软雅黑"/>
      <charset val="134"/>
    </font>
    <font>
      <sz val="9"/>
      <name val="微软雅黑"/>
      <charset val="134"/>
    </font>
    <font>
      <b/>
      <sz val="10"/>
      <color rgb="FF006100"/>
      <name val="微软雅黑"/>
      <charset val="134"/>
    </font>
    <font>
      <sz val="9"/>
      <color rgb="FF9C0006"/>
      <name val="微软雅黑"/>
      <charset val="134"/>
    </font>
    <font>
      <b/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2" fillId="10" borderId="5" applyNumberFormat="0" applyAlignment="0" applyProtection="0">
      <alignment vertical="center"/>
    </xf>
    <xf numFmtId="0" fontId="23" fillId="11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49" fontId="5" fillId="4" borderId="1" xfId="0" applyNumberFormat="1" applyFont="1" applyFill="1" applyBorder="1" applyAlignment="1">
      <alignment horizontal="left" vertical="center" wrapText="1"/>
    </xf>
    <xf numFmtId="4" fontId="5" fillId="4" borderId="1" xfId="0" applyNumberFormat="1" applyFont="1" applyFill="1" applyBorder="1" applyAlignment="1">
      <alignment horizontal="left" vertical="center" wrapText="1"/>
    </xf>
    <xf numFmtId="0" fontId="7" fillId="4" borderId="0" xfId="0" applyFont="1" applyFill="1" applyAlignment="1">
      <alignment horizontal="left" vertical="center"/>
    </xf>
    <xf numFmtId="0" fontId="8" fillId="5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4" fontId="9" fillId="6" borderId="1" xfId="0" applyNumberFormat="1" applyFont="1" applyFill="1" applyBorder="1" applyAlignment="1">
      <alignment horizontal="right" vertical="center"/>
    </xf>
    <xf numFmtId="4" fontId="6" fillId="0" borderId="1" xfId="0" applyNumberFormat="1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4" fontId="2" fillId="2" borderId="1" xfId="0" applyNumberFormat="1" applyFont="1" applyFill="1" applyBorder="1" applyAlignment="1">
      <alignment horizontal="right" vertical="center"/>
    </xf>
    <xf numFmtId="0" fontId="10" fillId="5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1" fontId="6" fillId="0" borderId="1" xfId="0" applyNumberFormat="1" applyFont="1" applyBorder="1" applyAlignment="1">
      <alignment horizontal="right" vertical="center"/>
    </xf>
    <xf numFmtId="0" fontId="11" fillId="7" borderId="1" xfId="0" applyFont="1" applyFill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49" fontId="6" fillId="4" borderId="1" xfId="0" applyNumberFormat="1" applyFont="1" applyFill="1" applyBorder="1" applyAlignment="1">
      <alignment horizontal="left" vertical="center" wrapText="1"/>
    </xf>
    <xf numFmtId="4" fontId="6" fillId="4" borderId="1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3" sqref="A3"/>
    </sheetView>
  </sheetViews>
  <sheetFormatPr defaultColWidth="9" defaultRowHeight="14.1" outlineLevelRow="2"/>
  <cols>
    <col min="1" max="1" width="16" customWidth="1"/>
    <col min="2" max="2" width="40" customWidth="1"/>
    <col min="3" max="3" width="26" customWidth="1"/>
    <col min="4" max="4" width="30" customWidth="1"/>
    <col min="5" max="5" width="12" customWidth="1"/>
    <col min="6" max="6" width="15" customWidth="1"/>
    <col min="7" max="7" width="28" customWidth="1"/>
    <col min="8" max="8" width="34" customWidth="1"/>
    <col min="9" max="9" width="11" customWidth="1"/>
    <col min="10" max="10" width="15" customWidth="1"/>
    <col min="11" max="11" width="14" customWidth="1"/>
    <col min="12" max="12" width="21" customWidth="1"/>
    <col min="13" max="13" width="14" customWidth="1"/>
    <col min="14" max="14" width="26" customWidth="1"/>
  </cols>
  <sheetData>
    <row r="1" ht="30" customHeight="1" spans="1:14">
      <c r="A1" s="1" t="s">
        <v>0</v>
      </c>
    </row>
    <row r="2" ht="32.05" customHeight="1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ht="46" customHeight="1" spans="1:14">
      <c r="A3" s="25" t="s">
        <v>15</v>
      </c>
      <c r="B3" s="7" t="s">
        <v>16</v>
      </c>
      <c r="C3" s="7" t="s">
        <v>17</v>
      </c>
      <c r="D3" s="7" t="s">
        <v>18</v>
      </c>
      <c r="E3" s="7" t="s">
        <v>19</v>
      </c>
      <c r="F3" s="26" t="s">
        <v>20</v>
      </c>
      <c r="G3" s="27" t="str">
        <f>IFERROR(VLOOKUP($A$3,供应商信息!$B$3:$M$11,2,FALSE),"")</f>
        <v>湖南大班威广告传媒有限公司</v>
      </c>
      <c r="H3" s="27" t="str">
        <f>IFERROR(VLOOKUP($A$3,供应商信息!$B$3:$M$11,7,FALSE),"")</f>
        <v>长沙经济技术开发区盼盼路12号湖南湘联科技有限公司厂房401（4-001—4-019）</v>
      </c>
      <c r="I3" s="27" t="str">
        <f>IFERROR(VLOOKUP($A$3,供应商信息!$B$3:$M$11,8,FALSE),"")</f>
        <v>孙威</v>
      </c>
      <c r="J3" s="28" t="str">
        <f>IFERROR(VLOOKUP($A$3,供应商信息!$B$3:$M$11,9,FALSE),"")</f>
        <v>13507409923</v>
      </c>
      <c r="K3" s="27" t="str">
        <f>IFERROR(VLOOKUP($A$3,供应商信息!$B$3:$M$11,4,FALSE),"")</f>
        <v>孙威</v>
      </c>
      <c r="L3" s="28" t="str">
        <f>IFERROR(VLOOKUP($A$3,供应商信息!$B$3:$M$11,3,FALSE),"")</f>
        <v>91430111394064620T</v>
      </c>
      <c r="M3" s="29">
        <f>IFERROR(VLOOKUP($A$3,供应商信息!$B$3:$M$11,10,FALSE),"")</f>
        <v>47799</v>
      </c>
      <c r="N3" s="27" t="str">
        <f>IFERROR(VLOOKUP($A$3,供应商信息!$B$3:$M$11,11,FALSE),"")</f>
        <v>肆万柒仟柒佰玖拾玖元整</v>
      </c>
    </row>
  </sheetData>
  <mergeCells count="1">
    <mergeCell ref="A1:N1"/>
  </mergeCells>
  <dataValidations count="1">
    <dataValidation type="list" errorTitle="取值无效" error="请从下拉列表中选择中标单位" sqref="A3">
      <formula1>供应商信息!$B$3:$B$11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pane ySplit="2" topLeftCell="A3" activePane="bottomLeft" state="frozen"/>
      <selection/>
      <selection pane="bottomLeft" activeCell="A1" sqref="A1:G1"/>
    </sheetView>
  </sheetViews>
  <sheetFormatPr defaultColWidth="9" defaultRowHeight="14.1" outlineLevelCol="6"/>
  <cols>
    <col min="1" max="1" width="6" customWidth="1"/>
    <col min="2" max="2" width="16" customWidth="1"/>
    <col min="3" max="3" width="48" customWidth="1"/>
    <col min="4" max="4" width="8" customWidth="1"/>
    <col min="5" max="5" width="7" customWidth="1"/>
    <col min="6" max="6" width="12" customWidth="1"/>
    <col min="7" max="7" width="13" customWidth="1"/>
  </cols>
  <sheetData>
    <row r="1" ht="30" customHeight="1" spans="1:7">
      <c r="A1" s="1" t="s">
        <v>21</v>
      </c>
    </row>
    <row r="2" ht="32.05" customHeight="1" spans="1:7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</row>
    <row r="3" ht="34" customHeight="1" spans="1:7">
      <c r="A3" s="12">
        <v>1</v>
      </c>
      <c r="B3" s="13" t="s">
        <v>29</v>
      </c>
      <c r="C3" s="7" t="s">
        <v>30</v>
      </c>
      <c r="D3" s="24">
        <v>1</v>
      </c>
      <c r="E3" s="12" t="s">
        <v>31</v>
      </c>
      <c r="F3" s="15">
        <v>2400</v>
      </c>
      <c r="G3" s="15">
        <f t="shared" ref="G3:G10" si="0">IF(OR(D3="",F3=""),"",D3*F3)</f>
        <v>2400</v>
      </c>
    </row>
    <row r="4" ht="34" customHeight="1" spans="1:7">
      <c r="A4" s="12">
        <v>2</v>
      </c>
      <c r="B4" s="13" t="s">
        <v>32</v>
      </c>
      <c r="C4" s="7" t="s">
        <v>33</v>
      </c>
      <c r="D4" s="24">
        <v>75</v>
      </c>
      <c r="E4" s="12" t="s">
        <v>34</v>
      </c>
      <c r="F4" s="15">
        <v>210</v>
      </c>
      <c r="G4" s="15">
        <f t="shared" si="0"/>
        <v>15750</v>
      </c>
    </row>
    <row r="5" ht="34" customHeight="1" spans="1:7">
      <c r="A5" s="12">
        <v>3</v>
      </c>
      <c r="B5" s="13" t="s">
        <v>35</v>
      </c>
      <c r="C5" s="7" t="s">
        <v>36</v>
      </c>
      <c r="D5" s="24">
        <v>75</v>
      </c>
      <c r="E5" s="12" t="s">
        <v>34</v>
      </c>
      <c r="F5" s="15">
        <v>14</v>
      </c>
      <c r="G5" s="15">
        <f t="shared" si="0"/>
        <v>1050</v>
      </c>
    </row>
    <row r="6" ht="34" customHeight="1" spans="1:7">
      <c r="A6" s="12">
        <v>4</v>
      </c>
      <c r="B6" s="13" t="s">
        <v>37</v>
      </c>
      <c r="C6" s="7" t="s">
        <v>38</v>
      </c>
      <c r="D6" s="24">
        <v>75</v>
      </c>
      <c r="E6" s="12" t="s">
        <v>34</v>
      </c>
      <c r="F6" s="15">
        <v>110</v>
      </c>
      <c r="G6" s="15">
        <f t="shared" si="0"/>
        <v>8250</v>
      </c>
    </row>
    <row r="7" ht="34" customHeight="1" spans="1:7">
      <c r="A7" s="12">
        <v>5</v>
      </c>
      <c r="B7" s="13" t="s">
        <v>39</v>
      </c>
      <c r="C7" s="7" t="s">
        <v>40</v>
      </c>
      <c r="D7" s="24">
        <v>1</v>
      </c>
      <c r="E7" s="12" t="s">
        <v>31</v>
      </c>
      <c r="F7" s="15">
        <v>800</v>
      </c>
      <c r="G7" s="15">
        <f t="shared" si="0"/>
        <v>800</v>
      </c>
    </row>
    <row r="8" ht="34" customHeight="1" spans="1:7">
      <c r="A8" s="12">
        <v>6</v>
      </c>
      <c r="B8" s="13" t="s">
        <v>41</v>
      </c>
      <c r="C8" s="7" t="s">
        <v>42</v>
      </c>
      <c r="D8" s="24">
        <v>150</v>
      </c>
      <c r="E8" s="12" t="s">
        <v>34</v>
      </c>
      <c r="F8" s="15">
        <v>78</v>
      </c>
      <c r="G8" s="15">
        <f t="shared" si="0"/>
        <v>11700</v>
      </c>
    </row>
    <row r="9" ht="34" customHeight="1" spans="1:7">
      <c r="A9" s="12">
        <v>7</v>
      </c>
      <c r="B9" s="13" t="s">
        <v>43</v>
      </c>
      <c r="C9" s="7" t="s">
        <v>44</v>
      </c>
      <c r="D9" s="24">
        <v>1</v>
      </c>
      <c r="E9" s="12" t="s">
        <v>34</v>
      </c>
      <c r="F9" s="15">
        <v>800</v>
      </c>
      <c r="G9" s="15">
        <f t="shared" si="0"/>
        <v>800</v>
      </c>
    </row>
    <row r="10" ht="34" customHeight="1" spans="1:7">
      <c r="A10" s="12">
        <v>8</v>
      </c>
      <c r="B10" s="13" t="s">
        <v>45</v>
      </c>
      <c r="C10" s="7" t="s">
        <v>46</v>
      </c>
      <c r="D10" s="24">
        <v>13</v>
      </c>
      <c r="E10" s="12" t="s">
        <v>47</v>
      </c>
      <c r="F10" s="15">
        <v>300</v>
      </c>
      <c r="G10" s="15">
        <f t="shared" si="0"/>
        <v>3900</v>
      </c>
    </row>
    <row r="11" ht="26.05" customHeight="1" spans="1:7">
      <c r="A11" s="16" t="s">
        <v>48</v>
      </c>
      <c r="B11" s="17"/>
      <c r="C11" s="17"/>
      <c r="D11" s="17"/>
      <c r="E11" s="17"/>
      <c r="F11" s="17"/>
      <c r="G11" s="18">
        <f>SUM(G3:G10)</f>
        <v>44650</v>
      </c>
    </row>
  </sheetData>
  <mergeCells count="2">
    <mergeCell ref="A1:G1"/>
    <mergeCell ref="A11:E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workbookViewId="0">
      <pane xSplit="2" ySplit="2" topLeftCell="C6" activePane="bottomRight" state="frozen"/>
      <selection/>
      <selection pane="topRight"/>
      <selection pane="bottomLeft"/>
      <selection pane="bottomRight" activeCell="H6" sqref="H6"/>
    </sheetView>
  </sheetViews>
  <sheetFormatPr defaultColWidth="9" defaultRowHeight="14.1"/>
  <cols>
    <col min="1" max="1" width="10" customWidth="1"/>
    <col min="2" max="2" width="12" customWidth="1"/>
    <col min="3" max="3" width="30" customWidth="1"/>
    <col min="4" max="4" width="22" customWidth="1"/>
    <col min="5" max="6" width="11" customWidth="1"/>
    <col min="7" max="7" width="12" customWidth="1"/>
    <col min="8" max="8" width="42" customWidth="1"/>
    <col min="9" max="9" width="12" customWidth="1"/>
    <col min="10" max="10" width="15" customWidth="1"/>
    <col min="11" max="11" width="14" customWidth="1"/>
    <col min="12" max="12" width="28" customWidth="1"/>
    <col min="13" max="13" width="12" customWidth="1"/>
  </cols>
  <sheetData>
    <row r="1" ht="30" customHeight="1" spans="1:13">
      <c r="A1" s="1" t="s">
        <v>49</v>
      </c>
    </row>
    <row r="2" ht="32.05" customHeight="1" spans="1:13">
      <c r="A2" s="2" t="s">
        <v>50</v>
      </c>
      <c r="B2" s="2" t="s">
        <v>51</v>
      </c>
      <c r="C2" s="2" t="s">
        <v>52</v>
      </c>
      <c r="D2" s="2" t="s">
        <v>12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57</v>
      </c>
      <c r="J2" s="2" t="s">
        <v>58</v>
      </c>
      <c r="K2" s="2" t="s">
        <v>59</v>
      </c>
      <c r="L2" s="2" t="s">
        <v>60</v>
      </c>
      <c r="M2" s="2" t="s">
        <v>61</v>
      </c>
    </row>
    <row r="3" ht="30" customHeight="1" spans="1:13">
      <c r="A3" s="12">
        <v>1</v>
      </c>
      <c r="B3" s="20" t="s">
        <v>62</v>
      </c>
      <c r="C3" s="7" t="s">
        <v>63</v>
      </c>
      <c r="D3" s="21" t="s">
        <v>64</v>
      </c>
      <c r="E3" s="12" t="s">
        <v>65</v>
      </c>
      <c r="F3" s="12" t="s">
        <v>66</v>
      </c>
      <c r="G3" s="12" t="s">
        <v>67</v>
      </c>
      <c r="H3" s="7" t="s">
        <v>68</v>
      </c>
      <c r="I3" s="13" t="s">
        <v>69</v>
      </c>
      <c r="J3" s="21" t="s">
        <v>70</v>
      </c>
      <c r="K3" s="15">
        <v>44650</v>
      </c>
      <c r="L3" s="7" t="s">
        <v>71</v>
      </c>
      <c r="M3" s="22" t="s">
        <v>72</v>
      </c>
    </row>
    <row r="4" ht="42" customHeight="1" spans="1:13">
      <c r="A4" s="12">
        <v>2</v>
      </c>
      <c r="B4" s="20" t="s">
        <v>73</v>
      </c>
      <c r="C4" s="7" t="s">
        <v>74</v>
      </c>
      <c r="D4" s="21" t="s">
        <v>75</v>
      </c>
      <c r="E4" s="12" t="s">
        <v>76</v>
      </c>
      <c r="F4" s="12" t="s">
        <v>77</v>
      </c>
      <c r="G4" s="12" t="s">
        <v>78</v>
      </c>
      <c r="H4" s="7" t="s">
        <v>79</v>
      </c>
      <c r="I4" s="13" t="s">
        <v>76</v>
      </c>
      <c r="J4" s="21" t="s">
        <v>80</v>
      </c>
      <c r="K4" s="15">
        <v>45875</v>
      </c>
      <c r="L4" s="7" t="s">
        <v>81</v>
      </c>
      <c r="M4" s="22" t="s">
        <v>72</v>
      </c>
    </row>
    <row r="5" ht="42" customHeight="1" spans="1:13">
      <c r="A5" s="12">
        <v>3</v>
      </c>
      <c r="B5" s="20" t="s">
        <v>82</v>
      </c>
      <c r="C5" s="7" t="s">
        <v>83</v>
      </c>
      <c r="D5" s="21" t="s">
        <v>84</v>
      </c>
      <c r="E5" s="12" t="s">
        <v>85</v>
      </c>
      <c r="F5" s="12" t="s">
        <v>86</v>
      </c>
      <c r="G5" s="12" t="s">
        <v>87</v>
      </c>
      <c r="H5" s="7" t="s">
        <v>88</v>
      </c>
      <c r="I5" s="13" t="s">
        <v>85</v>
      </c>
      <c r="J5" s="21" t="s">
        <v>89</v>
      </c>
      <c r="K5" s="15">
        <v>46713</v>
      </c>
      <c r="L5" s="7" t="s">
        <v>90</v>
      </c>
      <c r="M5" s="23" t="s">
        <v>91</v>
      </c>
    </row>
    <row r="6" ht="42" customHeight="1" spans="1:13">
      <c r="A6" s="12">
        <v>4</v>
      </c>
      <c r="B6" s="20" t="s">
        <v>92</v>
      </c>
      <c r="C6" s="7" t="s">
        <v>93</v>
      </c>
      <c r="D6" s="21" t="s">
        <v>94</v>
      </c>
      <c r="E6" s="12" t="s">
        <v>95</v>
      </c>
      <c r="F6" s="12" t="s">
        <v>86</v>
      </c>
      <c r="G6" s="12" t="s">
        <v>96</v>
      </c>
      <c r="H6" s="7" t="s">
        <v>97</v>
      </c>
      <c r="I6" s="13" t="s">
        <v>95</v>
      </c>
      <c r="J6" s="21" t="s">
        <v>98</v>
      </c>
      <c r="K6" s="15">
        <v>47449</v>
      </c>
      <c r="L6" s="7" t="s">
        <v>99</v>
      </c>
      <c r="M6" s="23" t="s">
        <v>91</v>
      </c>
    </row>
    <row r="7" ht="30" customHeight="1" spans="1:13">
      <c r="A7" s="12">
        <v>5</v>
      </c>
      <c r="B7" s="20" t="s">
        <v>100</v>
      </c>
      <c r="C7" s="7" t="s">
        <v>101</v>
      </c>
      <c r="D7" s="21" t="s">
        <v>102</v>
      </c>
      <c r="E7" s="12" t="s">
        <v>103</v>
      </c>
      <c r="F7" s="12" t="s">
        <v>104</v>
      </c>
      <c r="G7" s="12" t="s">
        <v>105</v>
      </c>
      <c r="H7" s="7" t="s">
        <v>106</v>
      </c>
      <c r="I7" s="13" t="s">
        <v>103</v>
      </c>
      <c r="J7" s="21" t="s">
        <v>107</v>
      </c>
      <c r="K7" s="15">
        <v>47624</v>
      </c>
      <c r="L7" s="7" t="s">
        <v>108</v>
      </c>
      <c r="M7" s="23" t="s">
        <v>91</v>
      </c>
    </row>
    <row r="8" ht="42" customHeight="1" spans="1:13">
      <c r="A8" s="12">
        <v>6</v>
      </c>
      <c r="B8" s="20" t="s">
        <v>15</v>
      </c>
      <c r="C8" s="7" t="s">
        <v>109</v>
      </c>
      <c r="D8" s="21" t="s">
        <v>110</v>
      </c>
      <c r="E8" s="12" t="s">
        <v>111</v>
      </c>
      <c r="F8" s="12" t="s">
        <v>86</v>
      </c>
      <c r="G8" s="12" t="s">
        <v>112</v>
      </c>
      <c r="H8" s="7" t="s">
        <v>113</v>
      </c>
      <c r="I8" s="13" t="s">
        <v>111</v>
      </c>
      <c r="J8" s="21" t="s">
        <v>114</v>
      </c>
      <c r="K8" s="15">
        <v>47799</v>
      </c>
      <c r="L8" s="7" t="s">
        <v>115</v>
      </c>
      <c r="M8" s="23" t="s">
        <v>91</v>
      </c>
    </row>
    <row r="9" ht="30" customHeight="1" spans="1:13">
      <c r="A9" s="12">
        <v>7</v>
      </c>
      <c r="B9" s="20" t="s">
        <v>116</v>
      </c>
      <c r="C9" s="7" t="s">
        <v>117</v>
      </c>
      <c r="D9" s="21" t="s">
        <v>118</v>
      </c>
      <c r="E9" s="12" t="s">
        <v>119</v>
      </c>
      <c r="F9" s="12" t="s">
        <v>66</v>
      </c>
      <c r="G9" s="12" t="s">
        <v>120</v>
      </c>
      <c r="H9" s="7" t="s">
        <v>121</v>
      </c>
      <c r="I9" s="13" t="s">
        <v>119</v>
      </c>
      <c r="J9" s="21" t="s">
        <v>122</v>
      </c>
      <c r="K9" s="15">
        <v>47859</v>
      </c>
      <c r="L9" s="7" t="s">
        <v>123</v>
      </c>
      <c r="M9" s="23" t="s">
        <v>91</v>
      </c>
    </row>
    <row r="10" ht="42" customHeight="1" spans="1:13">
      <c r="A10" s="12">
        <v>8</v>
      </c>
      <c r="B10" s="20" t="s">
        <v>124</v>
      </c>
      <c r="C10" s="7" t="s">
        <v>125</v>
      </c>
      <c r="D10" s="21" t="s">
        <v>126</v>
      </c>
      <c r="E10" s="12" t="s">
        <v>127</v>
      </c>
      <c r="F10" s="12" t="s">
        <v>128</v>
      </c>
      <c r="G10" s="12" t="s">
        <v>129</v>
      </c>
      <c r="H10" s="7" t="s">
        <v>130</v>
      </c>
      <c r="I10" s="13" t="s">
        <v>127</v>
      </c>
      <c r="J10" s="21" t="s">
        <v>131</v>
      </c>
      <c r="K10" s="15">
        <v>47925</v>
      </c>
      <c r="L10" s="7" t="s">
        <v>132</v>
      </c>
      <c r="M10" s="22" t="s">
        <v>72</v>
      </c>
    </row>
    <row r="11" ht="30" customHeight="1" spans="1:13">
      <c r="A11" s="12">
        <v>9</v>
      </c>
      <c r="B11" s="20" t="s">
        <v>133</v>
      </c>
      <c r="C11" s="7" t="s">
        <v>134</v>
      </c>
      <c r="D11" s="21" t="s">
        <v>135</v>
      </c>
      <c r="E11" s="12" t="s">
        <v>136</v>
      </c>
      <c r="F11" s="12" t="s">
        <v>66</v>
      </c>
      <c r="G11" s="12" t="s">
        <v>137</v>
      </c>
      <c r="H11" s="7" t="s">
        <v>138</v>
      </c>
      <c r="I11" s="13" t="s">
        <v>136</v>
      </c>
      <c r="J11" s="21" t="s">
        <v>139</v>
      </c>
      <c r="K11" s="15">
        <v>48888</v>
      </c>
      <c r="L11" s="7" t="s">
        <v>140</v>
      </c>
      <c r="M11" s="23" t="s">
        <v>91</v>
      </c>
    </row>
  </sheetData>
  <mergeCells count="1">
    <mergeCell ref="A1:M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pane xSplit="4" ySplit="2" topLeftCell="E3" activePane="bottomRight" state="frozen"/>
      <selection/>
      <selection pane="topRight"/>
      <selection pane="bottomLeft"/>
      <selection pane="bottomRight" activeCell="A1" sqref="A1:N1"/>
    </sheetView>
  </sheetViews>
  <sheetFormatPr defaultColWidth="9" defaultRowHeight="14.1"/>
  <cols>
    <col min="1" max="1" width="5" customWidth="1"/>
    <col min="2" max="2" width="18" customWidth="1"/>
    <col min="3" max="4" width="6" customWidth="1"/>
    <col min="5" max="8" width="9" customWidth="1"/>
    <col min="9" max="10" width="10" customWidth="1"/>
    <col min="11" max="13" width="9" customWidth="1"/>
    <col min="14" max="14" width="10" customWidth="1"/>
  </cols>
  <sheetData>
    <row r="1" ht="30" customHeight="1" spans="1:14">
      <c r="A1" s="1" t="s">
        <v>141</v>
      </c>
    </row>
    <row r="2" ht="32.05" customHeight="1" spans="1:14">
      <c r="A2" s="2" t="s">
        <v>22</v>
      </c>
      <c r="B2" s="2" t="s">
        <v>2</v>
      </c>
      <c r="C2" s="2" t="s">
        <v>25</v>
      </c>
      <c r="D2" s="2" t="s">
        <v>26</v>
      </c>
      <c r="E2" s="2" t="s">
        <v>62</v>
      </c>
      <c r="F2" s="2" t="s">
        <v>73</v>
      </c>
      <c r="G2" s="2" t="s">
        <v>82</v>
      </c>
      <c r="H2" s="2" t="s">
        <v>92</v>
      </c>
      <c r="I2" s="2" t="s">
        <v>100</v>
      </c>
      <c r="J2" s="2" t="s">
        <v>15</v>
      </c>
      <c r="K2" s="2" t="s">
        <v>116</v>
      </c>
      <c r="L2" s="2" t="s">
        <v>124</v>
      </c>
      <c r="M2" s="2" t="s">
        <v>133</v>
      </c>
      <c r="N2" s="2" t="s">
        <v>142</v>
      </c>
    </row>
    <row r="3" ht="24" customHeight="1" spans="1:14">
      <c r="A3" s="12">
        <v>1</v>
      </c>
      <c r="B3" s="13" t="s">
        <v>29</v>
      </c>
      <c r="C3" s="13">
        <v>1</v>
      </c>
      <c r="D3" s="12" t="s">
        <v>31</v>
      </c>
      <c r="E3" s="14">
        <v>2400</v>
      </c>
      <c r="F3" s="15">
        <v>2450</v>
      </c>
      <c r="G3" s="15">
        <v>2440</v>
      </c>
      <c r="H3" s="15">
        <v>2583</v>
      </c>
      <c r="I3" s="15">
        <v>2481</v>
      </c>
      <c r="J3" s="15">
        <v>2451</v>
      </c>
      <c r="K3" s="15">
        <v>2459</v>
      </c>
      <c r="L3" s="15">
        <v>2500</v>
      </c>
      <c r="M3" s="15">
        <v>2585</v>
      </c>
      <c r="N3" s="12" t="str">
        <f t="shared" ref="N3:N10" si="0">INDEX($E$2:$M$2,MATCH(MIN(E3:M3),E3:M3,0))</f>
        <v>晨早</v>
      </c>
    </row>
    <row r="4" ht="24" customHeight="1" spans="1:14">
      <c r="A4" s="12">
        <v>2</v>
      </c>
      <c r="B4" s="13" t="s">
        <v>32</v>
      </c>
      <c r="C4" s="13">
        <v>75</v>
      </c>
      <c r="D4" s="12" t="s">
        <v>34</v>
      </c>
      <c r="E4" s="14">
        <v>210</v>
      </c>
      <c r="F4" s="15">
        <v>215</v>
      </c>
      <c r="G4" s="15">
        <v>217</v>
      </c>
      <c r="H4" s="15">
        <v>218</v>
      </c>
      <c r="I4" s="15">
        <v>225</v>
      </c>
      <c r="J4" s="15">
        <v>232</v>
      </c>
      <c r="K4" s="15">
        <v>222</v>
      </c>
      <c r="L4" s="15">
        <v>220</v>
      </c>
      <c r="M4" s="15">
        <v>235</v>
      </c>
      <c r="N4" s="12" t="str">
        <f t="shared" si="0"/>
        <v>晨早</v>
      </c>
    </row>
    <row r="5" ht="24" customHeight="1" spans="1:14">
      <c r="A5" s="12">
        <v>3</v>
      </c>
      <c r="B5" s="13" t="s">
        <v>35</v>
      </c>
      <c r="C5" s="13">
        <v>75</v>
      </c>
      <c r="D5" s="12" t="s">
        <v>34</v>
      </c>
      <c r="E5" s="14">
        <v>14</v>
      </c>
      <c r="F5" s="14">
        <v>14</v>
      </c>
      <c r="G5" s="14">
        <v>14</v>
      </c>
      <c r="H5" s="15">
        <v>16</v>
      </c>
      <c r="I5" s="15">
        <v>15</v>
      </c>
      <c r="J5" s="14">
        <v>14</v>
      </c>
      <c r="K5" s="15">
        <v>15</v>
      </c>
      <c r="L5" s="15">
        <v>15</v>
      </c>
      <c r="M5" s="15">
        <v>15</v>
      </c>
      <c r="N5" s="12" t="str">
        <f t="shared" si="0"/>
        <v>晨早</v>
      </c>
    </row>
    <row r="6" ht="24" customHeight="1" spans="1:14">
      <c r="A6" s="12">
        <v>4</v>
      </c>
      <c r="B6" s="13" t="s">
        <v>37</v>
      </c>
      <c r="C6" s="13">
        <v>75</v>
      </c>
      <c r="D6" s="12" t="s">
        <v>34</v>
      </c>
      <c r="E6" s="14">
        <v>110</v>
      </c>
      <c r="F6" s="15">
        <v>118</v>
      </c>
      <c r="G6" s="15">
        <v>119</v>
      </c>
      <c r="H6" s="15">
        <v>121</v>
      </c>
      <c r="I6" s="15">
        <v>119</v>
      </c>
      <c r="J6" s="15">
        <v>117</v>
      </c>
      <c r="K6" s="15">
        <v>125</v>
      </c>
      <c r="L6" s="15">
        <v>120</v>
      </c>
      <c r="M6" s="15">
        <v>118</v>
      </c>
      <c r="N6" s="12" t="str">
        <f t="shared" si="0"/>
        <v>晨早</v>
      </c>
    </row>
    <row r="7" ht="24" customHeight="1" spans="1:14">
      <c r="A7" s="12">
        <v>5</v>
      </c>
      <c r="B7" s="13" t="s">
        <v>39</v>
      </c>
      <c r="C7" s="13">
        <v>1</v>
      </c>
      <c r="D7" s="12" t="s">
        <v>31</v>
      </c>
      <c r="E7" s="15">
        <v>800</v>
      </c>
      <c r="F7" s="14">
        <v>700</v>
      </c>
      <c r="G7" s="15">
        <v>790</v>
      </c>
      <c r="H7" s="15">
        <v>756</v>
      </c>
      <c r="I7" s="15">
        <v>764</v>
      </c>
      <c r="J7" s="15">
        <v>734</v>
      </c>
      <c r="K7" s="15">
        <v>737</v>
      </c>
      <c r="L7" s="15">
        <v>800</v>
      </c>
      <c r="M7" s="15">
        <v>789</v>
      </c>
      <c r="N7" s="12" t="str">
        <f t="shared" si="0"/>
        <v>泉旭</v>
      </c>
    </row>
    <row r="8" ht="24" customHeight="1" spans="1:14">
      <c r="A8" s="12">
        <v>6</v>
      </c>
      <c r="B8" s="13" t="s">
        <v>41</v>
      </c>
      <c r="C8" s="13">
        <v>150</v>
      </c>
      <c r="D8" s="12" t="s">
        <v>34</v>
      </c>
      <c r="E8" s="15">
        <v>78</v>
      </c>
      <c r="F8" s="14">
        <v>76</v>
      </c>
      <c r="G8" s="15">
        <v>79</v>
      </c>
      <c r="H8" s="15">
        <v>84</v>
      </c>
      <c r="I8" s="15">
        <v>83</v>
      </c>
      <c r="J8" s="15">
        <v>79</v>
      </c>
      <c r="K8" s="15">
        <v>81</v>
      </c>
      <c r="L8" s="15">
        <v>80</v>
      </c>
      <c r="M8" s="15">
        <v>84</v>
      </c>
      <c r="N8" s="12" t="str">
        <f t="shared" si="0"/>
        <v>泉旭</v>
      </c>
    </row>
    <row r="9" ht="24" customHeight="1" spans="1:14">
      <c r="A9" s="12">
        <v>7</v>
      </c>
      <c r="B9" s="13" t="s">
        <v>43</v>
      </c>
      <c r="C9" s="13">
        <v>1</v>
      </c>
      <c r="D9" s="12" t="s">
        <v>34</v>
      </c>
      <c r="E9" s="14">
        <v>800</v>
      </c>
      <c r="F9" s="14">
        <v>800</v>
      </c>
      <c r="G9" s="15">
        <v>846</v>
      </c>
      <c r="H9" s="15">
        <v>842</v>
      </c>
      <c r="I9" s="15">
        <v>896</v>
      </c>
      <c r="J9" s="15">
        <v>859</v>
      </c>
      <c r="K9" s="15">
        <v>891</v>
      </c>
      <c r="L9" s="14">
        <v>800</v>
      </c>
      <c r="M9" s="15">
        <v>881</v>
      </c>
      <c r="N9" s="12" t="str">
        <f t="shared" si="0"/>
        <v>晨早</v>
      </c>
    </row>
    <row r="10" ht="24" customHeight="1" spans="1:14">
      <c r="A10" s="12">
        <v>8</v>
      </c>
      <c r="B10" s="13" t="s">
        <v>45</v>
      </c>
      <c r="C10" s="13">
        <v>13</v>
      </c>
      <c r="D10" s="12" t="s">
        <v>47</v>
      </c>
      <c r="E10" s="14">
        <v>300</v>
      </c>
      <c r="F10" s="15">
        <v>350</v>
      </c>
      <c r="G10" s="15">
        <v>349</v>
      </c>
      <c r="H10" s="15">
        <v>311</v>
      </c>
      <c r="I10" s="15">
        <v>316</v>
      </c>
      <c r="J10" s="15">
        <v>360</v>
      </c>
      <c r="K10" s="15">
        <v>344</v>
      </c>
      <c r="L10" s="15">
        <v>400</v>
      </c>
      <c r="M10" s="15">
        <v>341</v>
      </c>
      <c r="N10" s="12" t="str">
        <f t="shared" si="0"/>
        <v>晨早</v>
      </c>
    </row>
    <row r="11" ht="26.05" customHeight="1" spans="1:14">
      <c r="A11" s="16" t="s">
        <v>143</v>
      </c>
      <c r="B11" s="17"/>
      <c r="C11" s="17"/>
      <c r="D11" s="17"/>
      <c r="E11" s="18">
        <f t="shared" ref="E11:M11" si="1">SUMPRODUCT($C$3:$C$10,E3:E10)</f>
        <v>44650</v>
      </c>
      <c r="F11" s="18">
        <f t="shared" si="1"/>
        <v>45925</v>
      </c>
      <c r="G11" s="18">
        <f t="shared" si="1"/>
        <v>46713</v>
      </c>
      <c r="H11" s="18">
        <f t="shared" si="1"/>
        <v>47449</v>
      </c>
      <c r="I11" s="18">
        <f t="shared" si="1"/>
        <v>47624</v>
      </c>
      <c r="J11" s="18">
        <f t="shared" si="1"/>
        <v>47799</v>
      </c>
      <c r="K11" s="18">
        <f t="shared" si="1"/>
        <v>47859</v>
      </c>
      <c r="L11" s="18">
        <f t="shared" si="1"/>
        <v>47925</v>
      </c>
      <c r="M11" s="18">
        <f t="shared" si="1"/>
        <v>48888</v>
      </c>
      <c r="N11" s="17"/>
    </row>
    <row r="12" ht="40" customHeight="1" spans="1:14">
      <c r="A12" s="19" t="s">
        <v>144</v>
      </c>
    </row>
  </sheetData>
  <mergeCells count="3">
    <mergeCell ref="A1:N1"/>
    <mergeCell ref="A11:D11"/>
    <mergeCell ref="A12:N1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topLeftCell="A12" workbookViewId="0">
      <selection activeCell="A1" sqref="A1:E1"/>
    </sheetView>
  </sheetViews>
  <sheetFormatPr defaultColWidth="9" defaultRowHeight="14.1" outlineLevelCol="4"/>
  <cols>
    <col min="1" max="1" width="24" customWidth="1"/>
    <col min="2" max="2" width="20" customWidth="1"/>
    <col min="3" max="3" width="18" customWidth="1"/>
    <col min="4" max="4" width="40" customWidth="1"/>
    <col min="5" max="5" width="46" customWidth="1"/>
  </cols>
  <sheetData>
    <row r="1" ht="30" customHeight="1" spans="1:5">
      <c r="A1" s="1" t="s">
        <v>145</v>
      </c>
    </row>
    <row r="2" ht="32.05" customHeight="1" spans="1:5">
      <c r="A2" s="2" t="s">
        <v>146</v>
      </c>
      <c r="B2" s="2" t="s">
        <v>147</v>
      </c>
      <c r="C2" s="2" t="s">
        <v>148</v>
      </c>
      <c r="D2" s="2" t="s">
        <v>149</v>
      </c>
      <c r="E2" s="2" t="s">
        <v>150</v>
      </c>
    </row>
    <row r="3" ht="30" customHeight="1" spans="1:5">
      <c r="A3" s="3" t="s">
        <v>151</v>
      </c>
      <c r="B3" s="4" t="s">
        <v>3</v>
      </c>
      <c r="C3" s="5" t="s">
        <v>152</v>
      </c>
      <c r="D3" s="6" t="str">
        <f>主表!C3</f>
        <v>长沙市天心区青园小学</v>
      </c>
      <c r="E3" s="7" t="s">
        <v>153</v>
      </c>
    </row>
    <row r="4" ht="30" customHeight="1" spans="1:5">
      <c r="A4" s="3" t="s">
        <v>154</v>
      </c>
      <c r="B4" s="4" t="s">
        <v>4</v>
      </c>
      <c r="C4" s="5" t="s">
        <v>152</v>
      </c>
      <c r="D4" s="6" t="str">
        <f>主表!D3</f>
        <v>长沙市天心区万芙北路189号</v>
      </c>
      <c r="E4" s="7" t="s">
        <v>155</v>
      </c>
    </row>
    <row r="5" ht="30" customHeight="1" spans="1:5">
      <c r="A5" s="3" t="s">
        <v>156</v>
      </c>
      <c r="B5" s="4" t="s">
        <v>5</v>
      </c>
      <c r="C5" s="5" t="s">
        <v>152</v>
      </c>
      <c r="D5" s="6" t="str">
        <f>主表!E3</f>
        <v>刘主任</v>
      </c>
      <c r="E5" s="7" t="s">
        <v>157</v>
      </c>
    </row>
    <row r="6" ht="30" customHeight="1" spans="1:5">
      <c r="A6" s="3" t="s">
        <v>158</v>
      </c>
      <c r="B6" s="4" t="s">
        <v>6</v>
      </c>
      <c r="C6" s="5" t="s">
        <v>152</v>
      </c>
      <c r="D6" s="8" t="str">
        <f>主表!F3</f>
        <v>0731-85894211</v>
      </c>
      <c r="E6" s="7" t="s">
        <v>159</v>
      </c>
    </row>
    <row r="7" ht="30" customHeight="1" spans="1:5">
      <c r="A7" s="3" t="s">
        <v>160</v>
      </c>
      <c r="B7" s="4" t="s">
        <v>2</v>
      </c>
      <c r="C7" s="5" t="s">
        <v>152</v>
      </c>
      <c r="D7" s="6" t="str">
        <f>主表!B3</f>
        <v>长沙市天心区青园小学百川楼打卡文化墙采购项目</v>
      </c>
      <c r="E7" s="7" t="s">
        <v>161</v>
      </c>
    </row>
    <row r="8" ht="30" customHeight="1" spans="1:5">
      <c r="A8" s="3" t="s">
        <v>162</v>
      </c>
      <c r="B8" s="4" t="s">
        <v>7</v>
      </c>
      <c r="C8" s="5" t="s">
        <v>52</v>
      </c>
      <c r="D8" s="6" t="str">
        <f>主表!G3</f>
        <v>湖南大班威广告传媒有限公司</v>
      </c>
      <c r="E8" s="7" t="s">
        <v>163</v>
      </c>
    </row>
    <row r="9" ht="30" customHeight="1" spans="1:5">
      <c r="A9" s="3" t="s">
        <v>164</v>
      </c>
      <c r="B9" s="4" t="s">
        <v>8</v>
      </c>
      <c r="C9" s="5" t="s">
        <v>56</v>
      </c>
      <c r="D9" s="6" t="str">
        <f>主表!H3</f>
        <v>长沙经济技术开发区盼盼路12号湖南湘联科技有限公司厂房401（4-001—4-019）</v>
      </c>
      <c r="E9" s="7" t="s">
        <v>165</v>
      </c>
    </row>
    <row r="10" ht="30" customHeight="1" spans="1:5">
      <c r="A10" s="3" t="s">
        <v>166</v>
      </c>
      <c r="B10" s="4" t="s">
        <v>9</v>
      </c>
      <c r="C10" s="5" t="s">
        <v>57</v>
      </c>
      <c r="D10" s="6" t="str">
        <f>主表!I3</f>
        <v>孙威</v>
      </c>
      <c r="E10" s="7" t="s">
        <v>167</v>
      </c>
    </row>
    <row r="11" ht="30" customHeight="1" spans="1:5">
      <c r="A11" s="3" t="s">
        <v>58</v>
      </c>
      <c r="B11" s="4" t="s">
        <v>10</v>
      </c>
      <c r="C11" s="5" t="s">
        <v>58</v>
      </c>
      <c r="D11" s="8" t="str">
        <f>主表!J3</f>
        <v>13507409923</v>
      </c>
      <c r="E11" s="7" t="s">
        <v>168</v>
      </c>
    </row>
    <row r="12" ht="30" customHeight="1" spans="1:5">
      <c r="A12" s="3" t="s">
        <v>53</v>
      </c>
      <c r="B12" s="4" t="s">
        <v>11</v>
      </c>
      <c r="C12" s="5" t="s">
        <v>53</v>
      </c>
      <c r="D12" s="6" t="str">
        <f>主表!K3</f>
        <v>孙威</v>
      </c>
      <c r="E12" s="7" t="s">
        <v>169</v>
      </c>
    </row>
    <row r="13" ht="30" customHeight="1" spans="1:5">
      <c r="A13" s="3" t="s">
        <v>170</v>
      </c>
      <c r="B13" s="4" t="s">
        <v>12</v>
      </c>
      <c r="C13" s="5" t="s">
        <v>12</v>
      </c>
      <c r="D13" s="8" t="str">
        <f>主表!L3</f>
        <v>91430111394064620T</v>
      </c>
      <c r="E13" s="7" t="s">
        <v>171</v>
      </c>
    </row>
    <row r="14" ht="30" customHeight="1" spans="1:5">
      <c r="A14" s="3" t="s">
        <v>172</v>
      </c>
      <c r="B14" s="4" t="s">
        <v>13</v>
      </c>
      <c r="C14" s="5" t="s">
        <v>59</v>
      </c>
      <c r="D14" s="9">
        <f>主表!M3</f>
        <v>47799</v>
      </c>
      <c r="E14" s="7" t="s">
        <v>173</v>
      </c>
    </row>
    <row r="15" ht="30" customHeight="1" spans="1:5">
      <c r="A15" s="3" t="s">
        <v>71</v>
      </c>
      <c r="B15" s="4" t="s">
        <v>14</v>
      </c>
      <c r="C15" s="5" t="s">
        <v>60</v>
      </c>
      <c r="D15" s="6" t="str">
        <f>主表!N3</f>
        <v>肆万柒仟柒佰玖拾玖元整</v>
      </c>
      <c r="E15" s="7" t="s">
        <v>174</v>
      </c>
    </row>
    <row r="17" ht="24" customHeight="1" spans="1:1">
      <c r="A17" s="10" t="s">
        <v>175</v>
      </c>
    </row>
    <row r="18" ht="44.05" customHeight="1" spans="1:1">
      <c r="A18" s="11" t="s">
        <v>176</v>
      </c>
    </row>
    <row r="19" ht="44.05" customHeight="1" spans="1:1">
      <c r="A19" s="11" t="s">
        <v>177</v>
      </c>
    </row>
    <row r="20" ht="44.05" customHeight="1" spans="1:1">
      <c r="A20" s="11" t="s">
        <v>178</v>
      </c>
    </row>
    <row r="21" ht="44.05" customHeight="1" spans="1:1">
      <c r="A21" s="11" t="s">
        <v>179</v>
      </c>
    </row>
    <row r="22" ht="44.05" customHeight="1" spans="1:1">
      <c r="A22" s="11" t="s">
        <v>180</v>
      </c>
    </row>
    <row r="23" ht="44.05" customHeight="1" spans="1:1">
      <c r="A23" s="11" t="s">
        <v>181</v>
      </c>
    </row>
    <row r="24" ht="44.05" customHeight="1" spans="1:1">
      <c r="A24" s="11" t="s">
        <v>182</v>
      </c>
    </row>
    <row r="25" ht="44.05" customHeight="1" spans="1:1">
      <c r="A25" s="11" t="s">
        <v>183</v>
      </c>
    </row>
  </sheetData>
  <mergeCells count="10">
    <mergeCell ref="A1:E1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主表</vt:lpstr>
      <vt:lpstr>明细</vt:lpstr>
      <vt:lpstr>供应商信息</vt:lpstr>
      <vt:lpstr>报价对比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示例数据</dc:title>
  <dc:creator>openpyxl</dc:creator>
  <cp:lastModifiedBy>WPS_1642391880</cp:lastModifiedBy>
  <dcterms:created xsi:type="dcterms:W3CDTF">2026-10-26T10:51:00Z</dcterms:created>
  <dcterms:modified xsi:type="dcterms:W3CDTF">2026-10-26T11:37:10Z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{"Label":"1","ContentProducer":"00119111010856365494821B355","ProduceID":"be94186d5820416e8879c120b7d15d09","ContentPropagator":"00119111010856365494821B355","PropagateID":"be94186d5820416e8879c120b7d15d09"}</vt:lpwstr>
  </property>
  <property fmtid="{D5CDD505-2E9C-101B-9397-08002B2CF9AE}" pid="3" name="ICV">
    <vt:lpwstr>0F4F7970B7BA46F9BE74A53AAC4172E7_12</vt:lpwstr>
  </property>
  <property fmtid="{D5CDD505-2E9C-101B-9397-08002B2CF9AE}" pid="4" name="KSOProductBuildVer">
    <vt:lpwstr>2052-12.1.0.28505</vt:lpwstr>
  </property>
  <property fmtid="{D5CDD505-2E9C-101B-9397-08002B2CF9AE}" pid="5" name="CalculationRule">
    <vt:i4>0</vt:i4>
  </property>
</Properties>
</file>